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Taha Abdelglel\Desktop\"/>
    </mc:Choice>
  </mc:AlternateContent>
  <xr:revisionPtr revIDLastSave="0" documentId="13_ncr:1_{9B64420A-16E0-4AFB-AF2E-F50E49DFCB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." sheetId="5" r:id="rId1"/>
    <sheet name="Sheet1 (2)" sheetId="2" r:id="rId2"/>
    <sheet name="Sheet2" sheetId="3" r:id="rId3"/>
    <sheet name="Sheet3" sheetId="4" r:id="rId4"/>
    <sheet name="Sheet1" sheetId="1" r:id="rId5"/>
  </sheets>
  <definedNames>
    <definedName name="_xlnm.Print_Area" localSheetId="0">'.'!$A$1:$C$11</definedName>
    <definedName name="_xlnm.Print_Area" localSheetId="4">Sheet1!$A$1:$F$8</definedName>
    <definedName name="_xlnm.Print_Area" localSheetId="1">'Sheet1 (2)'!$A$1:$G$8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4" l="1"/>
  <c r="H8" i="4"/>
  <c r="H10" i="4"/>
  <c r="H4" i="4"/>
  <c r="D6" i="4"/>
  <c r="D8" i="4"/>
  <c r="D10" i="4"/>
  <c r="D4" i="4"/>
  <c r="F8" i="4"/>
  <c r="F10" i="4"/>
  <c r="F4" i="4"/>
  <c r="F6" i="4"/>
  <c r="E7" i="2"/>
  <c r="E6" i="2"/>
  <c r="E5" i="2"/>
  <c r="E4" i="2"/>
  <c r="E3" i="2"/>
  <c r="D7" i="1"/>
  <c r="E7" i="1" s="1"/>
  <c r="E4" i="1"/>
  <c r="E5" i="1"/>
  <c r="E6" i="1"/>
  <c r="E3" i="1"/>
  <c r="E8" i="2" l="1"/>
  <c r="E8" i="1"/>
</calcChain>
</file>

<file path=xl/sharedStrings.xml><?xml version="1.0" encoding="utf-8"?>
<sst xmlns="http://schemas.openxmlformats.org/spreadsheetml/2006/main" count="101" uniqueCount="63">
  <si>
    <t>البند</t>
  </si>
  <si>
    <t>علب 20*20*1مم</t>
  </si>
  <si>
    <t xml:space="preserve">علب 16*16*1مم </t>
  </si>
  <si>
    <t>علب 100*50*3مم</t>
  </si>
  <si>
    <t>زاوية 3سم محملة</t>
  </si>
  <si>
    <t>زاوية 4سم محملة</t>
  </si>
  <si>
    <t>الفئة</t>
  </si>
  <si>
    <t>الإجمالي</t>
  </si>
  <si>
    <t>الكمية (طن)</t>
  </si>
  <si>
    <t>ملحوظة</t>
  </si>
  <si>
    <t>كاش</t>
  </si>
  <si>
    <t>آجل</t>
  </si>
  <si>
    <t>المورد</t>
  </si>
  <si>
    <t>جوهر/كيان</t>
  </si>
  <si>
    <t>هايدلبرج/الشامي/كيان</t>
  </si>
  <si>
    <t>الشامي/كيان</t>
  </si>
  <si>
    <t>توصيف المشكلة</t>
  </si>
  <si>
    <t>الأسباب</t>
  </si>
  <si>
    <t>الحل المقترح</t>
  </si>
  <si>
    <t>يتمثل الحل في 3 خطوات مرتبطين لا غنى عنهم:</t>
  </si>
  <si>
    <t>النتائج:</t>
  </si>
  <si>
    <t>ضعف إنتاجية الورشة بشكل ملحوظ مما ينبئ بحدوث مشكلة في كل من التوريدات والتركيبات خاصة مع حجم الأعمال الكبير المتوقع لعام 2026</t>
  </si>
  <si>
    <t>السبب الثاني هي عدم وجود سلف (أسبوعية/يومية)</t>
  </si>
  <si>
    <t>إصدار سلفة أسبوعية (1000-1.500ج) لكل فني/عامل شرط إستيفاء عدد معين من الطرايح ( 5 طرايح أسبوعيا)</t>
  </si>
  <si>
    <t>الحل بواسطة</t>
  </si>
  <si>
    <t>-</t>
  </si>
  <si>
    <t>الإدارة المالية  + إدارة الموارد البشرية</t>
  </si>
  <si>
    <t>إدارة المصنع</t>
  </si>
  <si>
    <t>بعد سؤال العديد من الفنيين/العمال السابقين والحاليين عن طريق مدير المصنع, المحاسب, والإداري أفادوا أن الأسباب تتلخص في الآتي:</t>
  </si>
  <si>
    <t>السبب الأول والرئيسي هي أن طبيعة الصناعة أن يحصل الفني/العامل على أجره أسبوعيا بينما الوضع في ورشة دار المعمار  أن القبض شهرياً .</t>
  </si>
  <si>
    <t>إبقاء القبض شهري كما هو  سواء بالفيزا أو عن طريق السركي.</t>
  </si>
  <si>
    <t xml:space="preserve">إنخفاض عدد الفنيين/العمال نتيجة إعتذار العديد منهم عن الإستمرار بالعمل بالورشة </t>
  </si>
  <si>
    <t>ضعف اليوميات إلى حد ما مقارنة بالسوق</t>
  </si>
  <si>
    <t>سيتم تعديل اليوميات في شهر فبراير كما هو متبع وسنحاول أن نقترب من أسعار السوق بالقدر الكافي. وذلك بعد مسح السوق عن طريق كل من مدير المصنع, المحاسب, والإداري.</t>
  </si>
  <si>
    <t>الوضع طبقا لمذكرة 2025</t>
  </si>
  <si>
    <t>طريقة التسوية</t>
  </si>
  <si>
    <t>الدهانات</t>
  </si>
  <si>
    <t>متوسط التسوية (ألف جنيه/شهر)</t>
  </si>
  <si>
    <t>المطلوب طبقا لإحتياجات 2026</t>
  </si>
  <si>
    <t>يوميات عن طريق المحاسب</t>
  </si>
  <si>
    <t>الجلفنة</t>
  </si>
  <si>
    <t>ملاحظات</t>
  </si>
  <si>
    <t>الليزر</t>
  </si>
  <si>
    <t>بيان بحد أقصى 3 آلاف جنيه عن طريق المحاسب</t>
  </si>
  <si>
    <t>خامات وخدمات</t>
  </si>
  <si>
    <t>عهدة لمندوب مشتريات تحت حساب الورشة/ PR/PO</t>
  </si>
  <si>
    <t>بسبب تضاعف حجم الأعمال المتوقع في 2026</t>
  </si>
  <si>
    <t>بسبب تضاعف حجم الأعمال المتوقع في 2026  + طبيعة العقود الحالية (جلفنة أكثر)</t>
  </si>
  <si>
    <t>متوسط التسوية (ألف جنيه/سنة)</t>
  </si>
  <si>
    <t xml:space="preserve">يوميات أو فاتورة ضريبية عن طريق المحاسب </t>
  </si>
  <si>
    <t>كراون 5</t>
  </si>
  <si>
    <t>دونج 15</t>
  </si>
  <si>
    <t xml:space="preserve">أي ماركة 1 </t>
  </si>
  <si>
    <t>ماكينة لحام شنطة إنفرتر200 أمبير 1 فاز ماركة DWT</t>
  </si>
  <si>
    <t>صاروخ كبير</t>
  </si>
  <si>
    <t>صاروخ صغير</t>
  </si>
  <si>
    <t>هيلتي بطارية</t>
  </si>
  <si>
    <t>شنيور بطارية</t>
  </si>
  <si>
    <t>ماكينة لحام co2    (ماركة برو ويلد  pro weld  220 فولت)</t>
  </si>
  <si>
    <t xml:space="preserve">الكمية </t>
  </si>
  <si>
    <t>ديسك قطعيه 14 بوصه بصنيه مدرجه موتور 4 حصان ماركة شومان</t>
  </si>
  <si>
    <t xml:space="preserve">صاروخ كراون 9 بوصة أعلى وات </t>
  </si>
  <si>
    <t xml:space="preserve">صاروخ دونج شنج 5 بوصة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</si>
</sst>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164" fontId="0" fillId="0" borderId="0" xfId="1" applyNumberFormat="1" applyFont="1"/>
    <xf numFmtId="164" fontId="0" fillId="0" borderId="0" xfId="1" applyNumberFormat="1" applyFont="1" applyFill="1" applyBorder="1"/>
    <xf numFmtId="164" fontId="0" fillId="0" borderId="0" xfId="1" applyNumberFormat="1" applyFont="1" applyBorder="1"/>
    <xf numFmtId="164" fontId="0" fillId="0" borderId="0" xfId="1" applyNumberFormat="1" applyFont="1" applyFill="1"/>
    <xf numFmtId="164" fontId="0" fillId="0" borderId="1" xfId="1" applyNumberFormat="1" applyFont="1" applyFill="1" applyBorder="1"/>
    <xf numFmtId="164" fontId="0" fillId="0" borderId="2" xfId="1" applyNumberFormat="1" applyFont="1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right" vertical="center" wrapText="1"/>
    </xf>
    <xf numFmtId="164" fontId="0" fillId="0" borderId="3" xfId="1" applyNumberFormat="1" applyFont="1" applyBorder="1" applyAlignment="1">
      <alignment horizontal="right" vertical="center" wrapText="1"/>
    </xf>
    <xf numFmtId="164" fontId="0" fillId="2" borderId="3" xfId="1" applyNumberFormat="1" applyFont="1" applyFill="1" applyBorder="1" applyAlignment="1">
      <alignment horizontal="right" vertical="center" wrapText="1"/>
    </xf>
    <xf numFmtId="0" fontId="0" fillId="0" borderId="0" xfId="0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right"/>
    </xf>
    <xf numFmtId="0" fontId="0" fillId="3" borderId="3" xfId="0" applyFill="1" applyBorder="1" applyAlignment="1">
      <alignment horizontal="right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horizontal="right" vertical="center" readingOrder="2"/>
    </xf>
    <xf numFmtId="0" fontId="0" fillId="0" borderId="3" xfId="0" applyBorder="1" applyAlignment="1">
      <alignment horizontal="center" vertical="center"/>
    </xf>
    <xf numFmtId="0" fontId="0" fillId="3" borderId="3" xfId="0" applyFill="1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right" vertical="center" readingOrder="2"/>
    </xf>
    <xf numFmtId="0" fontId="0" fillId="3" borderId="3" xfId="0" applyFill="1" applyBorder="1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3" borderId="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right" vertical="center" readingOrder="2"/>
    </xf>
    <xf numFmtId="0" fontId="0" fillId="0" borderId="3" xfId="0" applyBorder="1" applyAlignment="1">
      <alignment horizontal="right" vertical="center" wrapText="1" readingOrder="2"/>
    </xf>
    <xf numFmtId="0" fontId="0" fillId="3" borderId="3" xfId="0" applyFill="1" applyBorder="1" applyAlignment="1">
      <alignment horizontal="center" vertical="center"/>
    </xf>
    <xf numFmtId="164" fontId="0" fillId="2" borderId="3" xfId="1" applyNumberFormat="1" applyFont="1" applyFill="1" applyBorder="1" applyAlignment="1">
      <alignment horizontal="right" vertical="center" wrapText="1"/>
    </xf>
    <xf numFmtId="0" fontId="0" fillId="2" borderId="5" xfId="0" applyFill="1" applyBorder="1" applyAlignment="1">
      <alignment horizontal="right" vertical="center" wrapText="1"/>
    </xf>
    <xf numFmtId="0" fontId="0" fillId="2" borderId="6" xfId="0" applyFill="1" applyBorder="1" applyAlignment="1">
      <alignment horizontal="right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164" fontId="0" fillId="2" borderId="4" xfId="1" applyNumberFormat="1" applyFont="1" applyFill="1" applyBorder="1" applyAlignment="1">
      <alignment horizontal="right" vertical="center" wrapText="1"/>
    </xf>
    <xf numFmtId="164" fontId="0" fillId="2" borderId="1" xfId="1" applyNumberFormat="1" applyFont="1" applyFill="1" applyBorder="1" applyAlignment="1">
      <alignment horizontal="right" vertical="center" wrapText="1"/>
    </xf>
    <xf numFmtId="0" fontId="3" fillId="0" borderId="0" xfId="0" applyFont="1"/>
    <xf numFmtId="0" fontId="3" fillId="0" borderId="3" xfId="0" applyFont="1" applyBorder="1"/>
    <xf numFmtId="0" fontId="3" fillId="0" borderId="0" xfId="0" applyFont="1" applyBorder="1"/>
    <xf numFmtId="0" fontId="3" fillId="0" borderId="0" xfId="0" applyFont="1" applyFill="1" applyBorder="1"/>
    <xf numFmtId="164" fontId="3" fillId="0" borderId="0" xfId="1" applyNumberFormat="1" applyFont="1" applyAlignment="1">
      <alignment horizontal="center" vertical="center"/>
    </xf>
    <xf numFmtId="164" fontId="3" fillId="0" borderId="0" xfId="1" applyNumberFormat="1" applyFont="1" applyFill="1" applyBorder="1" applyAlignment="1">
      <alignment horizontal="center" vertical="center"/>
    </xf>
    <xf numFmtId="164" fontId="3" fillId="0" borderId="0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23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indexed="64"/>
        </right>
        <top style="thin">
          <color indexed="64"/>
        </top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rgb="FF000000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outline="0">
        <right style="thin">
          <color rgb="FF000000"/>
        </right>
        <top style="thin">
          <color rgb="FF000000"/>
        </top>
      </border>
    </dxf>
    <dxf>
      <fill>
        <patternFill patternType="none">
          <fgColor rgb="FF000000"/>
          <bgColor auto="1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auto="1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72A163B-E563-47C7-B8A0-DEF595CEEFA7}" name="Table14" displayName="Table14" ref="B2:C9" totalsRowShown="0" headerRowDxfId="3" dataDxfId="2" headerRowCellStyle="Comma">
  <autoFilter ref="B2:C9" xr:uid="{710B704E-8B58-4B68-BBF7-E0DAD0B85A5F}"/>
  <tableColumns count="2">
    <tableColumn id="1" xr3:uid="{862169B0-4F34-49D4-A923-1155D4456997}" name="البند" dataDxfId="1"/>
    <tableColumn id="2" xr3:uid="{8A0DCCCA-EE9D-4A20-AB88-FF4DA1C11910}" name="الكمية " dataDxfId="0" dataCellStyle="Comma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20C592-0D44-4BFB-93A1-6078225C64B3}" name="Table13" displayName="Table13" ref="B2:G8" totalsRowShown="0" headerRowDxfId="22" dataDxfId="20" headerRowBorderDxfId="21" tableBorderDxfId="19" headerRowCellStyle="Comma">
  <autoFilter ref="B2:G8" xr:uid="{710B704E-8B58-4B68-BBF7-E0DAD0B85A5F}"/>
  <tableColumns count="6">
    <tableColumn id="1" xr3:uid="{E3A84BB8-ABA2-4A9F-910F-9EEF56E62B15}" name="البند" dataDxfId="18"/>
    <tableColumn id="2" xr3:uid="{B46F88E9-C6DA-4556-B786-F1B7D645E96C}" name="الكمية (طن)" dataDxfId="17" dataCellStyle="Comma"/>
    <tableColumn id="3" xr3:uid="{FE17F7AD-F203-47D7-9A10-FE7FB0B09A60}" name="الفئة" dataDxfId="16" dataCellStyle="Comma"/>
    <tableColumn id="4" xr3:uid="{2E3366FF-B080-4144-BFE0-8A6748231D47}" name="الإجمالي" dataDxfId="15" dataCellStyle="Comma"/>
    <tableColumn id="5" xr3:uid="{C2BA2CFD-475C-4B1E-A792-A66F30781194}" name="ملحوظة" dataDxfId="14" dataCellStyle="Comma"/>
    <tableColumn id="6" xr3:uid="{6913798B-54CB-4AF7-8843-46D276DF1A53}" name="المورد" dataDxfId="13" dataCellStyle="Comma"/>
  </tableColumns>
  <tableStyleInfo name="TableStyleMedium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10B704E-8B58-4B68-BBF7-E0DAD0B85A5F}" name="Table1" displayName="Table1" ref="B2:F8" totalsRowShown="0" headerRowDxfId="12" dataDxfId="10" headerRowBorderDxfId="11" tableBorderDxfId="9" headerRowCellStyle="Comma">
  <autoFilter ref="B2:F8" xr:uid="{710B704E-8B58-4B68-BBF7-E0DAD0B85A5F}"/>
  <tableColumns count="5">
    <tableColumn id="1" xr3:uid="{E694E186-9B1C-4E91-8CCA-34958C0DC380}" name="البند" dataDxfId="8"/>
    <tableColumn id="2" xr3:uid="{1FCE47C1-252E-4153-B1E2-695440982F15}" name="الكمية (طن)" dataDxfId="7" dataCellStyle="Comma"/>
    <tableColumn id="3" xr3:uid="{AB1FEEA7-3574-4568-AA86-42AAF7E9C38E}" name="الفئة" dataDxfId="6" dataCellStyle="Comma"/>
    <tableColumn id="4" xr3:uid="{3D2424DC-5B43-4026-A499-2E60F0178068}" name="الإجمالي" dataDxfId="5" dataCellStyle="Comma"/>
    <tableColumn id="5" xr3:uid="{48B74C88-5687-4F22-AF1F-6586CF461101}" name="ملحوظة" dataDxfId="4" dataCellStyle="Comma"/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A1F70-231E-4B27-AD60-EEC6A1249702}">
  <dimension ref="B1:H16"/>
  <sheetViews>
    <sheetView rightToLeft="1" tabSelected="1" view="pageBreakPreview" zoomScale="175" zoomScaleNormal="100" zoomScaleSheetLayoutView="175" workbookViewId="0">
      <selection activeCell="B14" sqref="B14"/>
    </sheetView>
  </sheetViews>
  <sheetFormatPr defaultRowHeight="12" x14ac:dyDescent="0.25"/>
  <cols>
    <col min="1" max="1" width="2.44140625" style="44" customWidth="1"/>
    <col min="2" max="2" width="37.77734375" style="44" bestFit="1" customWidth="1"/>
    <col min="3" max="3" width="7" style="48" customWidth="1"/>
    <col min="4" max="16384" width="8.88671875" style="44"/>
  </cols>
  <sheetData>
    <row r="1" spans="2:8" ht="10.8" customHeight="1" x14ac:dyDescent="0.25"/>
    <row r="2" spans="2:8" x14ac:dyDescent="0.25">
      <c r="B2" s="46" t="s">
        <v>0</v>
      </c>
      <c r="C2" s="50" t="s">
        <v>59</v>
      </c>
    </row>
    <row r="3" spans="2:8" x14ac:dyDescent="0.25">
      <c r="B3" s="46" t="s">
        <v>58</v>
      </c>
      <c r="C3" s="49">
        <v>5</v>
      </c>
    </row>
    <row r="4" spans="2:8" x14ac:dyDescent="0.25">
      <c r="B4" s="46" t="s">
        <v>60</v>
      </c>
      <c r="C4" s="49">
        <v>1</v>
      </c>
    </row>
    <row r="5" spans="2:8" x14ac:dyDescent="0.25">
      <c r="B5" s="46" t="s">
        <v>53</v>
      </c>
      <c r="C5" s="49">
        <v>10</v>
      </c>
    </row>
    <row r="6" spans="2:8" x14ac:dyDescent="0.25">
      <c r="B6" s="46" t="s">
        <v>61</v>
      </c>
      <c r="C6" s="49">
        <v>5</v>
      </c>
      <c r="G6" s="45"/>
    </row>
    <row r="7" spans="2:8" x14ac:dyDescent="0.25">
      <c r="B7" s="46" t="s">
        <v>62</v>
      </c>
      <c r="C7" s="49">
        <v>15</v>
      </c>
      <c r="G7" s="45"/>
    </row>
    <row r="8" spans="2:8" x14ac:dyDescent="0.25">
      <c r="B8" s="46" t="s">
        <v>56</v>
      </c>
      <c r="C8" s="49">
        <v>1</v>
      </c>
      <c r="G8" s="45"/>
      <c r="H8" s="45"/>
    </row>
    <row r="9" spans="2:8" x14ac:dyDescent="0.25">
      <c r="B9" s="47" t="s">
        <v>57</v>
      </c>
      <c r="C9" s="49">
        <v>1</v>
      </c>
      <c r="G9" s="45"/>
      <c r="H9" s="45"/>
    </row>
    <row r="10" spans="2:8" x14ac:dyDescent="0.25">
      <c r="G10" s="45"/>
      <c r="H10" s="45"/>
    </row>
    <row r="11" spans="2:8" x14ac:dyDescent="0.25">
      <c r="G11" s="45"/>
      <c r="H11" s="45"/>
    </row>
    <row r="12" spans="2:8" x14ac:dyDescent="0.25">
      <c r="G12" s="45"/>
      <c r="H12" s="45"/>
    </row>
    <row r="13" spans="2:8" x14ac:dyDescent="0.25">
      <c r="G13" s="45" t="s">
        <v>50</v>
      </c>
      <c r="H13" s="45" t="s">
        <v>54</v>
      </c>
    </row>
    <row r="14" spans="2:8" x14ac:dyDescent="0.25">
      <c r="G14" s="45" t="s">
        <v>51</v>
      </c>
      <c r="H14" s="45" t="s">
        <v>55</v>
      </c>
    </row>
    <row r="15" spans="2:8" x14ac:dyDescent="0.25">
      <c r="G15" s="45" t="s">
        <v>52</v>
      </c>
      <c r="H15" s="45" t="s">
        <v>56</v>
      </c>
    </row>
    <row r="16" spans="2:8" x14ac:dyDescent="0.25">
      <c r="G16" s="45" t="s">
        <v>52</v>
      </c>
      <c r="H16" s="45" t="s">
        <v>57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FA66F-9460-4B80-B5FB-A97E2C773261}">
  <dimension ref="B1:G9"/>
  <sheetViews>
    <sheetView rightToLeft="1" view="pageBreakPreview" zoomScale="220" zoomScaleNormal="100" zoomScaleSheetLayoutView="220" workbookViewId="0">
      <selection activeCell="C12" sqref="C12"/>
    </sheetView>
  </sheetViews>
  <sheetFormatPr defaultRowHeight="14.4" x14ac:dyDescent="0.3"/>
  <cols>
    <col min="1" max="1" width="2.44140625" customWidth="1"/>
    <col min="2" max="2" width="14.5546875" bestFit="1" customWidth="1"/>
    <col min="3" max="3" width="11.77734375" style="1" customWidth="1"/>
    <col min="4" max="4" width="8.88671875" style="1"/>
    <col min="5" max="5" width="10.44140625" style="1" customWidth="1"/>
    <col min="7" max="7" width="18" customWidth="1"/>
  </cols>
  <sheetData>
    <row r="1" spans="2:7" ht="10.8" customHeight="1" x14ac:dyDescent="0.3"/>
    <row r="2" spans="2:7" x14ac:dyDescent="0.3">
      <c r="B2" t="s">
        <v>0</v>
      </c>
      <c r="C2" s="2" t="s">
        <v>8</v>
      </c>
      <c r="D2" s="2" t="s">
        <v>6</v>
      </c>
      <c r="E2" s="2" t="s">
        <v>7</v>
      </c>
      <c r="F2" s="5" t="s">
        <v>9</v>
      </c>
      <c r="G2" s="6" t="s">
        <v>12</v>
      </c>
    </row>
    <row r="3" spans="2:7" hidden="1" x14ac:dyDescent="0.3">
      <c r="B3" t="s">
        <v>1</v>
      </c>
      <c r="C3" s="2">
        <v>20</v>
      </c>
      <c r="D3" s="2">
        <v>40000</v>
      </c>
      <c r="E3" s="2">
        <f>D3*C3</f>
        <v>800000</v>
      </c>
      <c r="F3" s="4" t="s">
        <v>10</v>
      </c>
      <c r="G3" s="4" t="s">
        <v>14</v>
      </c>
    </row>
    <row r="4" spans="2:7" x14ac:dyDescent="0.3">
      <c r="B4" t="s">
        <v>2</v>
      </c>
      <c r="C4" s="2">
        <v>10</v>
      </c>
      <c r="D4" s="2">
        <v>40000</v>
      </c>
      <c r="E4" s="2">
        <f t="shared" ref="E4:E7" si="0">D4*C4</f>
        <v>400000</v>
      </c>
      <c r="F4" s="4" t="s">
        <v>10</v>
      </c>
      <c r="G4" s="4" t="s">
        <v>15</v>
      </c>
    </row>
    <row r="5" spans="2:7" x14ac:dyDescent="0.3">
      <c r="B5" t="s">
        <v>3</v>
      </c>
      <c r="C5" s="2">
        <v>3</v>
      </c>
      <c r="D5" s="2">
        <v>39000</v>
      </c>
      <c r="E5" s="2">
        <f t="shared" si="0"/>
        <v>117000</v>
      </c>
      <c r="F5" s="4" t="s">
        <v>10</v>
      </c>
      <c r="G5" s="4" t="s">
        <v>13</v>
      </c>
    </row>
    <row r="6" spans="2:7" x14ac:dyDescent="0.3">
      <c r="B6" t="s">
        <v>5</v>
      </c>
      <c r="C6" s="2">
        <v>3</v>
      </c>
      <c r="D6" s="2">
        <v>36500</v>
      </c>
      <c r="E6" s="2">
        <f t="shared" si="0"/>
        <v>109500</v>
      </c>
      <c r="F6" s="4" t="s">
        <v>10</v>
      </c>
      <c r="G6" s="4" t="s">
        <v>13</v>
      </c>
    </row>
    <row r="7" spans="2:7" x14ac:dyDescent="0.3">
      <c r="B7" t="s">
        <v>4</v>
      </c>
      <c r="C7" s="2">
        <v>18</v>
      </c>
      <c r="D7" s="2">
        <v>36500</v>
      </c>
      <c r="E7" s="2">
        <f t="shared" si="0"/>
        <v>657000</v>
      </c>
      <c r="F7" s="4" t="s">
        <v>10</v>
      </c>
      <c r="G7" s="4" t="s">
        <v>13</v>
      </c>
    </row>
    <row r="8" spans="2:7" x14ac:dyDescent="0.3">
      <c r="C8" s="2"/>
      <c r="D8" s="2"/>
      <c r="E8" s="2">
        <f>SUBTOTAL(109,E3:E7)</f>
        <v>1283500</v>
      </c>
      <c r="F8" s="4"/>
      <c r="G8" s="4"/>
    </row>
    <row r="9" spans="2:7" x14ac:dyDescent="0.3">
      <c r="C9" s="3"/>
      <c r="D9" s="3"/>
      <c r="E9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E6E31-0E40-4020-B170-B5A78A25C515}">
  <dimension ref="C2:H6"/>
  <sheetViews>
    <sheetView rightToLeft="1" workbookViewId="0">
      <selection activeCell="G10" sqref="G10"/>
    </sheetView>
  </sheetViews>
  <sheetFormatPr defaultRowHeight="14.4" x14ac:dyDescent="0.3"/>
  <cols>
    <col min="2" max="2" width="5.33203125" bestFit="1" customWidth="1"/>
    <col min="3" max="3" width="31.6640625" style="7" bestFit="1" customWidth="1"/>
    <col min="4" max="4" width="35.109375" style="7" bestFit="1" customWidth="1"/>
    <col min="5" max="5" width="3.5546875" style="8" customWidth="1"/>
    <col min="6" max="6" width="43.88671875" style="7" customWidth="1"/>
    <col min="7" max="7" width="39.88671875" style="7" customWidth="1"/>
    <col min="8" max="8" width="13.5546875" style="7" customWidth="1"/>
  </cols>
  <sheetData>
    <row r="2" spans="3:8" s="14" customFormat="1" ht="37.200000000000003" customHeight="1" x14ac:dyDescent="0.3">
      <c r="C2" s="11" t="s">
        <v>16</v>
      </c>
      <c r="D2" s="11" t="s">
        <v>20</v>
      </c>
      <c r="E2" s="38" t="s">
        <v>17</v>
      </c>
      <c r="F2" s="39"/>
      <c r="G2" s="11" t="s">
        <v>18</v>
      </c>
      <c r="H2" s="42" t="s">
        <v>24</v>
      </c>
    </row>
    <row r="3" spans="3:8" s="12" customFormat="1" ht="43.2" customHeight="1" x14ac:dyDescent="0.3">
      <c r="C3" s="37" t="s">
        <v>31</v>
      </c>
      <c r="D3" s="37" t="s">
        <v>21</v>
      </c>
      <c r="E3" s="40" t="s">
        <v>28</v>
      </c>
      <c r="F3" s="41"/>
      <c r="G3" s="11" t="s">
        <v>19</v>
      </c>
      <c r="H3" s="43"/>
    </row>
    <row r="4" spans="3:8" ht="43.2" x14ac:dyDescent="0.3">
      <c r="C4" s="37"/>
      <c r="D4" s="37"/>
      <c r="E4" s="13">
        <v>1</v>
      </c>
      <c r="F4" s="9" t="s">
        <v>29</v>
      </c>
      <c r="G4" s="10" t="s">
        <v>30</v>
      </c>
      <c r="H4" s="10" t="s">
        <v>25</v>
      </c>
    </row>
    <row r="5" spans="3:8" ht="28.8" x14ac:dyDescent="0.3">
      <c r="C5" s="37"/>
      <c r="D5" s="37"/>
      <c r="E5" s="13">
        <v>2</v>
      </c>
      <c r="F5" s="9" t="s">
        <v>22</v>
      </c>
      <c r="G5" s="10" t="s">
        <v>23</v>
      </c>
      <c r="H5" s="10" t="s">
        <v>26</v>
      </c>
    </row>
    <row r="6" spans="3:8" ht="43.2" x14ac:dyDescent="0.3">
      <c r="C6" s="37"/>
      <c r="D6" s="37"/>
      <c r="E6" s="13">
        <v>3</v>
      </c>
      <c r="F6" s="9" t="s">
        <v>32</v>
      </c>
      <c r="G6" s="10" t="s">
        <v>33</v>
      </c>
      <c r="H6" s="10" t="s">
        <v>27</v>
      </c>
    </row>
  </sheetData>
  <mergeCells count="5">
    <mergeCell ref="C3:C6"/>
    <mergeCell ref="E2:F2"/>
    <mergeCell ref="E3:F3"/>
    <mergeCell ref="D3:D6"/>
    <mergeCell ref="H2:H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6F9C1-2295-4455-84EC-46A94108C7E9}">
  <dimension ref="B2:J11"/>
  <sheetViews>
    <sheetView rightToLeft="1" workbookViewId="0">
      <selection activeCell="I16" sqref="I16"/>
    </sheetView>
  </sheetViews>
  <sheetFormatPr defaultRowHeight="14.4" x14ac:dyDescent="0.3"/>
  <cols>
    <col min="2" max="2" width="8.88671875" style="14"/>
    <col min="3" max="3" width="12" style="8" customWidth="1"/>
    <col min="4" max="4" width="12" style="8" hidden="1" customWidth="1"/>
    <col min="5" max="5" width="23.21875" style="7" customWidth="1"/>
    <col min="6" max="6" width="6.6640625" style="7" customWidth="1"/>
    <col min="7" max="7" width="6.6640625" style="15" customWidth="1"/>
    <col min="8" max="8" width="12" style="8" hidden="1" customWidth="1"/>
    <col min="9" max="9" width="37.88671875" style="7" customWidth="1"/>
    <col min="10" max="10" width="34.33203125" style="20" customWidth="1"/>
  </cols>
  <sheetData>
    <row r="2" spans="2:10" ht="22.8" customHeight="1" x14ac:dyDescent="0.3">
      <c r="B2" s="36" t="s">
        <v>0</v>
      </c>
      <c r="C2" s="29" t="s">
        <v>34</v>
      </c>
      <c r="D2" s="30"/>
      <c r="E2" s="31"/>
      <c r="F2" s="29" t="s">
        <v>38</v>
      </c>
      <c r="G2" s="30"/>
      <c r="H2" s="30"/>
      <c r="I2" s="31"/>
      <c r="J2" s="34" t="s">
        <v>41</v>
      </c>
    </row>
    <row r="3" spans="2:10" s="19" customFormat="1" ht="39" customHeight="1" x14ac:dyDescent="0.3">
      <c r="B3" s="36"/>
      <c r="C3" s="18" t="s">
        <v>37</v>
      </c>
      <c r="D3" s="18" t="s">
        <v>48</v>
      </c>
      <c r="E3" s="18" t="s">
        <v>35</v>
      </c>
      <c r="F3" s="32" t="s">
        <v>37</v>
      </c>
      <c r="G3" s="33"/>
      <c r="H3" s="18" t="s">
        <v>48</v>
      </c>
      <c r="I3" s="18" t="s">
        <v>35</v>
      </c>
      <c r="J3" s="34"/>
    </row>
    <row r="4" spans="2:10" ht="18.600000000000001" customHeight="1" x14ac:dyDescent="0.3">
      <c r="B4" s="27" t="s">
        <v>36</v>
      </c>
      <c r="C4" s="21">
        <v>80</v>
      </c>
      <c r="D4" s="21">
        <f>12*C4</f>
        <v>960</v>
      </c>
      <c r="E4" s="28" t="s">
        <v>39</v>
      </c>
      <c r="F4" s="24">
        <f>SUM(G4:G5)</f>
        <v>160</v>
      </c>
      <c r="G4" s="16">
        <v>80</v>
      </c>
      <c r="H4" s="21">
        <f>12*F4</f>
        <v>1920</v>
      </c>
      <c r="I4" s="17" t="s">
        <v>39</v>
      </c>
      <c r="J4" s="26" t="s">
        <v>46</v>
      </c>
    </row>
    <row r="5" spans="2:10" ht="18.600000000000001" customHeight="1" x14ac:dyDescent="0.3">
      <c r="B5" s="27"/>
      <c r="C5" s="21"/>
      <c r="D5" s="21"/>
      <c r="E5" s="28"/>
      <c r="F5" s="25"/>
      <c r="G5" s="16">
        <v>80</v>
      </c>
      <c r="H5" s="21"/>
      <c r="I5" s="17" t="s">
        <v>49</v>
      </c>
      <c r="J5" s="26"/>
    </row>
    <row r="6" spans="2:10" ht="18.600000000000001" customHeight="1" x14ac:dyDescent="0.3">
      <c r="B6" s="27" t="s">
        <v>40</v>
      </c>
      <c r="C6" s="21">
        <v>10</v>
      </c>
      <c r="D6" s="21">
        <f t="shared" ref="D6" si="0">12*C6</f>
        <v>120</v>
      </c>
      <c r="E6" s="28" t="s">
        <v>39</v>
      </c>
      <c r="F6" s="24">
        <f>SUM(G6:G7)</f>
        <v>100</v>
      </c>
      <c r="G6" s="16">
        <v>10</v>
      </c>
      <c r="H6" s="21">
        <f t="shared" ref="H6" si="1">12*F6</f>
        <v>1200</v>
      </c>
      <c r="I6" s="17" t="s">
        <v>39</v>
      </c>
      <c r="J6" s="35" t="s">
        <v>47</v>
      </c>
    </row>
    <row r="7" spans="2:10" ht="18.600000000000001" customHeight="1" x14ac:dyDescent="0.3">
      <c r="B7" s="27"/>
      <c r="C7" s="21"/>
      <c r="D7" s="21"/>
      <c r="E7" s="28"/>
      <c r="F7" s="25"/>
      <c r="G7" s="16">
        <v>90</v>
      </c>
      <c r="H7" s="21"/>
      <c r="I7" s="17" t="s">
        <v>49</v>
      </c>
      <c r="J7" s="35"/>
    </row>
    <row r="8" spans="2:10" ht="18.600000000000001" customHeight="1" x14ac:dyDescent="0.3">
      <c r="B8" s="27" t="s">
        <v>42</v>
      </c>
      <c r="C8" s="21">
        <v>10</v>
      </c>
      <c r="D8" s="21">
        <f t="shared" ref="D8" si="2">12*C8</f>
        <v>120</v>
      </c>
      <c r="E8" s="28" t="s">
        <v>39</v>
      </c>
      <c r="F8" s="24">
        <f t="shared" ref="F8" si="3">SUM(G8:G9)</f>
        <v>20</v>
      </c>
      <c r="G8" s="16">
        <v>10</v>
      </c>
      <c r="H8" s="21">
        <f t="shared" ref="H8" si="4">12*F8</f>
        <v>240</v>
      </c>
      <c r="I8" s="17" t="s">
        <v>39</v>
      </c>
      <c r="J8" s="26" t="s">
        <v>46</v>
      </c>
    </row>
    <row r="9" spans="2:10" ht="18.600000000000001" customHeight="1" x14ac:dyDescent="0.3">
      <c r="B9" s="27"/>
      <c r="C9" s="21"/>
      <c r="D9" s="21"/>
      <c r="E9" s="28"/>
      <c r="F9" s="25"/>
      <c r="G9" s="16">
        <v>10</v>
      </c>
      <c r="H9" s="21"/>
      <c r="I9" s="17" t="s">
        <v>49</v>
      </c>
      <c r="J9" s="26"/>
    </row>
    <row r="10" spans="2:10" ht="18.600000000000001" customHeight="1" x14ac:dyDescent="0.3">
      <c r="B10" s="22" t="s">
        <v>44</v>
      </c>
      <c r="C10" s="21">
        <v>35</v>
      </c>
      <c r="D10" s="21">
        <f t="shared" ref="D10" si="5">12*C10</f>
        <v>420</v>
      </c>
      <c r="E10" s="23" t="s">
        <v>43</v>
      </c>
      <c r="F10" s="24">
        <f t="shared" ref="F10" si="6">SUM(G10:G11)</f>
        <v>70</v>
      </c>
      <c r="G10" s="16">
        <v>35</v>
      </c>
      <c r="H10" s="21">
        <f t="shared" ref="H10" si="7">12*F10</f>
        <v>840</v>
      </c>
      <c r="I10" s="17" t="s">
        <v>43</v>
      </c>
      <c r="J10" s="26" t="s">
        <v>46</v>
      </c>
    </row>
    <row r="11" spans="2:10" ht="18.600000000000001" customHeight="1" x14ac:dyDescent="0.3">
      <c r="B11" s="22"/>
      <c r="C11" s="21"/>
      <c r="D11" s="21"/>
      <c r="E11" s="23"/>
      <c r="F11" s="25"/>
      <c r="G11" s="16">
        <v>35</v>
      </c>
      <c r="H11" s="21"/>
      <c r="I11" s="17" t="s">
        <v>45</v>
      </c>
      <c r="J11" s="26"/>
    </row>
  </sheetData>
  <mergeCells count="33">
    <mergeCell ref="B6:B7"/>
    <mergeCell ref="E6:E7"/>
    <mergeCell ref="C6:C7"/>
    <mergeCell ref="J2:J3"/>
    <mergeCell ref="J4:J5"/>
    <mergeCell ref="J6:J7"/>
    <mergeCell ref="H6:H7"/>
    <mergeCell ref="C2:E2"/>
    <mergeCell ref="E4:E5"/>
    <mergeCell ref="C4:C5"/>
    <mergeCell ref="B2:B3"/>
    <mergeCell ref="B4:B5"/>
    <mergeCell ref="F2:I2"/>
    <mergeCell ref="F4:F5"/>
    <mergeCell ref="F6:F7"/>
    <mergeCell ref="F8:F9"/>
    <mergeCell ref="F3:G3"/>
    <mergeCell ref="J10:J11"/>
    <mergeCell ref="D4:D5"/>
    <mergeCell ref="D6:D7"/>
    <mergeCell ref="D8:D9"/>
    <mergeCell ref="D10:D11"/>
    <mergeCell ref="H4:H5"/>
    <mergeCell ref="E8:E9"/>
    <mergeCell ref="J8:J9"/>
    <mergeCell ref="H8:H9"/>
    <mergeCell ref="H10:H11"/>
    <mergeCell ref="B10:B11"/>
    <mergeCell ref="C10:C11"/>
    <mergeCell ref="E10:E11"/>
    <mergeCell ref="F10:F11"/>
    <mergeCell ref="B8:B9"/>
    <mergeCell ref="C8:C9"/>
  </mergeCells>
  <phoneticPr fontId="2" type="noConversion"/>
  <pageMargins left="0.7" right="0.7" top="0.75" bottom="0.75" header="0.3" footer="0.3"/>
  <ignoredErrors>
    <ignoredError sqref="F4:F11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9"/>
  <sheetViews>
    <sheetView rightToLeft="1" view="pageBreakPreview" zoomScale="175" zoomScaleNormal="100" zoomScaleSheetLayoutView="175" workbookViewId="0">
      <selection activeCell="D11" sqref="D11"/>
    </sheetView>
  </sheetViews>
  <sheetFormatPr defaultRowHeight="14.4" x14ac:dyDescent="0.3"/>
  <cols>
    <col min="1" max="1" width="2.44140625" customWidth="1"/>
    <col min="2" max="2" width="14.5546875" bestFit="1" customWidth="1"/>
    <col min="3" max="3" width="11.77734375" style="1" customWidth="1"/>
    <col min="4" max="4" width="8.88671875" style="1"/>
    <col min="5" max="5" width="10.44140625" style="1" customWidth="1"/>
  </cols>
  <sheetData>
    <row r="1" spans="2:6" ht="10.8" customHeight="1" x14ac:dyDescent="0.3"/>
    <row r="2" spans="2:6" x14ac:dyDescent="0.3">
      <c r="B2" t="s">
        <v>0</v>
      </c>
      <c r="C2" s="2" t="s">
        <v>8</v>
      </c>
      <c r="D2" s="2" t="s">
        <v>6</v>
      </c>
      <c r="E2" s="2" t="s">
        <v>7</v>
      </c>
      <c r="F2" s="5" t="s">
        <v>9</v>
      </c>
    </row>
    <row r="3" spans="2:6" x14ac:dyDescent="0.3">
      <c r="B3" t="s">
        <v>1</v>
      </c>
      <c r="C3" s="2">
        <v>40</v>
      </c>
      <c r="D3" s="2">
        <v>40000</v>
      </c>
      <c r="E3" s="2">
        <f>D3*C3</f>
        <v>1600000</v>
      </c>
      <c r="F3" s="4" t="s">
        <v>10</v>
      </c>
    </row>
    <row r="4" spans="2:6" x14ac:dyDescent="0.3">
      <c r="B4" t="s">
        <v>2</v>
      </c>
      <c r="C4" s="2">
        <v>10</v>
      </c>
      <c r="D4" s="2">
        <v>40000</v>
      </c>
      <c r="E4" s="2">
        <f t="shared" ref="E4:E7" si="0">D4*C4</f>
        <v>400000</v>
      </c>
      <c r="F4" s="4" t="s">
        <v>10</v>
      </c>
    </row>
    <row r="5" spans="2:6" x14ac:dyDescent="0.3">
      <c r="B5" t="s">
        <v>3</v>
      </c>
      <c r="C5" s="2">
        <v>3</v>
      </c>
      <c r="D5" s="2">
        <v>40000</v>
      </c>
      <c r="E5" s="2">
        <f t="shared" si="0"/>
        <v>120000</v>
      </c>
      <c r="F5" s="4" t="s">
        <v>11</v>
      </c>
    </row>
    <row r="6" spans="2:6" x14ac:dyDescent="0.3">
      <c r="B6" t="s">
        <v>5</v>
      </c>
      <c r="C6" s="2">
        <v>3</v>
      </c>
      <c r="D6" s="2">
        <v>36928</v>
      </c>
      <c r="E6" s="2">
        <f t="shared" si="0"/>
        <v>110784</v>
      </c>
      <c r="F6" s="4" t="s">
        <v>10</v>
      </c>
    </row>
    <row r="7" spans="2:6" x14ac:dyDescent="0.3">
      <c r="B7" t="s">
        <v>4</v>
      </c>
      <c r="C7" s="2">
        <v>18</v>
      </c>
      <c r="D7" s="2">
        <f>D6</f>
        <v>36928</v>
      </c>
      <c r="E7" s="2">
        <f t="shared" si="0"/>
        <v>664704</v>
      </c>
      <c r="F7" s="4" t="s">
        <v>10</v>
      </c>
    </row>
    <row r="8" spans="2:6" x14ac:dyDescent="0.3">
      <c r="C8" s="2"/>
      <c r="D8" s="2"/>
      <c r="E8" s="2">
        <f>SUBTOTAL(109,E3:E7)</f>
        <v>2895488</v>
      </c>
      <c r="F8" s="4"/>
    </row>
    <row r="9" spans="2:6" x14ac:dyDescent="0.3">
      <c r="C9" s="3"/>
      <c r="D9" s="3"/>
      <c r="E9" s="3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.</vt:lpstr>
      <vt:lpstr>Sheet1 (2)</vt:lpstr>
      <vt:lpstr>Sheet2</vt:lpstr>
      <vt:lpstr>Sheet3</vt:lpstr>
      <vt:lpstr>Sheet1</vt:lpstr>
      <vt:lpstr>'.'!Print_Area</vt:lpstr>
      <vt:lpstr>Sheet1!Print_Area</vt:lpstr>
      <vt:lpstr>'Sheet1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 Abdelglel</dc:creator>
  <cp:lastModifiedBy>Taha Saad</cp:lastModifiedBy>
  <dcterms:created xsi:type="dcterms:W3CDTF">2015-06-05T18:17:20Z</dcterms:created>
  <dcterms:modified xsi:type="dcterms:W3CDTF">2026-04-16T12:20:49Z</dcterms:modified>
</cp:coreProperties>
</file>